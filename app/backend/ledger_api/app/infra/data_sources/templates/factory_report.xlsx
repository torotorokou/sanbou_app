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koujiro\work_env\22.Work_React\sanbou_app\my-project\backend\ledger_api\app\api\st_app\data\templates\"/>
    </mc:Choice>
  </mc:AlternateContent>
  <xr:revisionPtr revIDLastSave="0" documentId="13_ncr:1_{5939FA7B-D9A0-4158-9447-44B84F95DB01}" xr6:coauthVersionLast="47" xr6:coauthVersionMax="47" xr10:uidLastSave="{00000000-0000-0000-0000-000000000000}"/>
  <bookViews>
    <workbookView xWindow="-120" yWindow="-120" windowWidth="29040" windowHeight="16440" firstSheet="1" activeTab="1" xr2:uid="{0A80F59E-C948-4541-8343-D85B94652641}"/>
  </bookViews>
  <sheets>
    <sheet name="マクロ参照シート" sheetId="4" state="hidden" r:id="rId1"/>
    <sheet name="テンプレー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Q11" i="1"/>
  <c r="H27" i="1"/>
  <c r="E33" i="1"/>
  <c r="H33" i="1"/>
  <c r="K33" i="1"/>
  <c r="N33" i="1"/>
  <c r="Q33" i="1"/>
  <c r="E31" i="1"/>
  <c r="H31" i="1"/>
  <c r="K31" i="1"/>
  <c r="N31" i="1"/>
  <c r="Q31" i="1"/>
  <c r="Q29" i="1"/>
  <c r="Q27" i="1"/>
  <c r="Q25" i="1"/>
  <c r="Q23" i="1"/>
  <c r="N29" i="1"/>
  <c r="N27" i="1"/>
  <c r="N25" i="1"/>
  <c r="N23" i="1"/>
  <c r="K29" i="1"/>
  <c r="K27" i="1"/>
  <c r="K25" i="1"/>
  <c r="K23" i="1"/>
  <c r="Q21" i="1"/>
  <c r="Q19" i="1"/>
  <c r="Q17" i="1"/>
  <c r="Q15" i="1"/>
  <c r="N21" i="1"/>
  <c r="N19" i="1"/>
  <c r="N17" i="1"/>
  <c r="N15" i="1"/>
  <c r="H23" i="1"/>
  <c r="H25" i="1"/>
  <c r="H29" i="1"/>
  <c r="E29" i="1"/>
  <c r="E27" i="1"/>
  <c r="E25" i="1"/>
  <c r="E23" i="1"/>
  <c r="K21" i="1"/>
  <c r="K19" i="1"/>
  <c r="H19" i="1"/>
  <c r="H21" i="1"/>
  <c r="E21" i="1"/>
  <c r="E19" i="1"/>
  <c r="E17" i="1"/>
  <c r="H17" i="1"/>
  <c r="K17" i="1"/>
  <c r="K15" i="1"/>
  <c r="H15" i="1"/>
  <c r="E15" i="1"/>
  <c r="F11" i="1" l="1"/>
  <c r="R24" i="1" a="1"/>
  <c r="R24" i="1" s="1"/>
  <c r="R16" i="1" a="1"/>
  <c r="R16" i="1" s="1"/>
  <c r="R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<sst xmlns="http://schemas.openxmlformats.org/spreadsheetml/2006/main" count="129" uniqueCount="88">
  <si>
    <t>kg</t>
    <phoneticPr fontId="2"/>
  </si>
  <si>
    <t>ス</t>
    <phoneticPr fontId="2"/>
  </si>
  <si>
    <t>ゴ</t>
    <phoneticPr fontId="2"/>
  </si>
  <si>
    <t>／</t>
    <phoneticPr fontId="2"/>
  </si>
  <si>
    <t>～　／</t>
    <phoneticPr fontId="2"/>
  </si>
  <si>
    <t>円　</t>
    <rPh sb="0" eb="1">
      <t>エン</t>
    </rPh>
    <phoneticPr fontId="2"/>
  </si>
  <si>
    <t>粗利</t>
    <rPh sb="0" eb="2">
      <t>アラリ</t>
    </rPh>
    <phoneticPr fontId="2"/>
  </si>
  <si>
    <t>～</t>
    <phoneticPr fontId="2"/>
  </si>
  <si>
    <t>ｋｇ</t>
    <phoneticPr fontId="2"/>
  </si>
  <si>
    <t>搬入</t>
    <rPh sb="0" eb="2">
      <t>ハンニュウ</t>
    </rPh>
    <phoneticPr fontId="2"/>
  </si>
  <si>
    <t>粗利益</t>
  </si>
  <si>
    <t>仕入</t>
  </si>
  <si>
    <t>売上</t>
  </si>
  <si>
    <t>/　～　/　　現在</t>
  </si>
  <si>
    <t>工場粗利単価</t>
  </si>
  <si>
    <t>㎥</t>
    <phoneticPr fontId="2"/>
  </si>
  <si>
    <t>不可ボード</t>
    <rPh sb="0" eb="2">
      <t>フカ</t>
    </rPh>
    <phoneticPr fontId="2"/>
  </si>
  <si>
    <t>残渣</t>
    <rPh sb="0" eb="2">
      <t>ザンサ</t>
    </rPh>
    <phoneticPr fontId="2"/>
  </si>
  <si>
    <t>備考</t>
  </si>
  <si>
    <t>個</t>
    <phoneticPr fontId="2"/>
  </si>
  <si>
    <t>B</t>
    <phoneticPr fontId="2"/>
  </si>
  <si>
    <t>安定</t>
    <rPh sb="0" eb="2">
      <t>アンテイ</t>
    </rPh>
    <phoneticPr fontId="2"/>
  </si>
  <si>
    <t>破砕</t>
    <rPh sb="0" eb="2">
      <t>ハサイ</t>
    </rPh>
    <phoneticPr fontId="2"/>
  </si>
  <si>
    <t>焼却</t>
    <rPh sb="0" eb="2">
      <t>ショウキャク</t>
    </rPh>
    <phoneticPr fontId="2"/>
  </si>
  <si>
    <t>プラ</t>
    <phoneticPr fontId="2"/>
  </si>
  <si>
    <t>ブロック</t>
  </si>
  <si>
    <t>合計</t>
    <rPh sb="0" eb="2">
      <t>ゴウケイ</t>
    </rPh>
    <phoneticPr fontId="2"/>
  </si>
  <si>
    <t>処分合計</t>
  </si>
  <si>
    <t>処分</t>
  </si>
  <si>
    <t>有価合計</t>
  </si>
  <si>
    <t>有価</t>
  </si>
  <si>
    <t>出荷</t>
  </si>
  <si>
    <t>二軸破砕機</t>
    <rPh sb="0" eb="1">
      <t>ニ</t>
    </rPh>
    <rPh sb="1" eb="2">
      <t>ジク</t>
    </rPh>
    <rPh sb="2" eb="5">
      <t>ハサイキ</t>
    </rPh>
    <phoneticPr fontId="2"/>
  </si>
  <si>
    <t>ｋｇ</t>
  </si>
  <si>
    <t>一軸破砕機</t>
    <rPh sb="0" eb="2">
      <t>イチジク</t>
    </rPh>
    <rPh sb="2" eb="5">
      <t>ハサイキ</t>
    </rPh>
    <phoneticPr fontId="2"/>
  </si>
  <si>
    <t>破砕機稼働時間</t>
    <rPh sb="0" eb="3">
      <t>ハサイキ</t>
    </rPh>
    <rPh sb="3" eb="5">
      <t>カドウ</t>
    </rPh>
    <rPh sb="5" eb="7">
      <t>ジカン</t>
    </rPh>
    <phoneticPr fontId="2"/>
  </si>
  <si>
    <t>台</t>
  </si>
  <si>
    <t>搬入</t>
  </si>
  <si>
    <t>人</t>
    <rPh sb="0" eb="1">
      <t>ヒト</t>
    </rPh>
    <phoneticPr fontId="2"/>
  </si>
  <si>
    <t>合　計</t>
  </si>
  <si>
    <t>夜勤</t>
    <rPh sb="0" eb="2">
      <t>ヤキン</t>
    </rPh>
    <phoneticPr fontId="2"/>
  </si>
  <si>
    <t>第一</t>
    <rPh sb="0" eb="2">
      <t>ダイイチ</t>
    </rPh>
    <phoneticPr fontId="2"/>
  </si>
  <si>
    <t>遅番</t>
  </si>
  <si>
    <t>早番</t>
  </si>
  <si>
    <t>7:00～16:00</t>
  </si>
  <si>
    <t>神谷</t>
    <rPh sb="0" eb="2">
      <t>カミヤ</t>
    </rPh>
    <phoneticPr fontId="2"/>
  </si>
  <si>
    <t>村上</t>
    <rPh sb="0" eb="2">
      <t>ムラカミ</t>
    </rPh>
    <phoneticPr fontId="2"/>
  </si>
  <si>
    <t>高野</t>
  </si>
  <si>
    <t>佐々木</t>
    <rPh sb="0" eb="3">
      <t>ササキ</t>
    </rPh>
    <phoneticPr fontId="2"/>
  </si>
  <si>
    <t>鈴木</t>
    <rPh sb="0" eb="2">
      <t>スズキ</t>
    </rPh>
    <phoneticPr fontId="2"/>
  </si>
  <si>
    <t>関</t>
    <rPh sb="0" eb="1">
      <t>セキ</t>
    </rPh>
    <phoneticPr fontId="2"/>
  </si>
  <si>
    <t>山内</t>
    <phoneticPr fontId="2"/>
  </si>
  <si>
    <t>緑河　</t>
    <phoneticPr fontId="2"/>
  </si>
  <si>
    <t>ライン</t>
    <phoneticPr fontId="2"/>
  </si>
  <si>
    <t>10:00～19:00</t>
    <phoneticPr fontId="2"/>
  </si>
  <si>
    <t>9:00～18:00</t>
  </si>
  <si>
    <t>8:00～17:00</t>
    <phoneticPr fontId="2"/>
  </si>
  <si>
    <t>オマール</t>
    <phoneticPr fontId="2"/>
  </si>
  <si>
    <t>小林</t>
    <rPh sb="0" eb="2">
      <t>コバヤシ</t>
    </rPh>
    <phoneticPr fontId="2"/>
  </si>
  <si>
    <t>木下</t>
    <rPh sb="0" eb="2">
      <t>キノシタ</t>
    </rPh>
    <phoneticPr fontId="2"/>
  </si>
  <si>
    <t>大川</t>
    <rPh sb="0" eb="2">
      <t>オオカワ</t>
    </rPh>
    <phoneticPr fontId="2"/>
  </si>
  <si>
    <t>11:00～20:00</t>
    <phoneticPr fontId="2"/>
  </si>
  <si>
    <t>サンジャ</t>
    <phoneticPr fontId="2"/>
  </si>
  <si>
    <t>チュビ</t>
    <phoneticPr fontId="2"/>
  </si>
  <si>
    <t>手塚</t>
    <rPh sb="0" eb="2">
      <t>テヅカ</t>
    </rPh>
    <phoneticPr fontId="2"/>
  </si>
  <si>
    <t>市原</t>
    <rPh sb="0" eb="2">
      <t>イチハラ</t>
    </rPh>
    <phoneticPr fontId="2"/>
  </si>
  <si>
    <t>早川</t>
    <rPh sb="0" eb="2">
      <t>ハヤカワ</t>
    </rPh>
    <phoneticPr fontId="2"/>
  </si>
  <si>
    <t>ドナルド</t>
    <phoneticPr fontId="2"/>
  </si>
  <si>
    <t>9:00～18:00</t>
    <phoneticPr fontId="2"/>
  </si>
  <si>
    <t>7:00～16:00</t>
    <phoneticPr fontId="2"/>
  </si>
  <si>
    <t>ステファン</t>
    <phoneticPr fontId="2"/>
  </si>
  <si>
    <t>石井</t>
    <rPh sb="0" eb="2">
      <t>イシイ</t>
    </rPh>
    <phoneticPr fontId="2"/>
  </si>
  <si>
    <t>エマニエル</t>
    <phoneticPr fontId="2"/>
  </si>
  <si>
    <t>チャールス</t>
    <phoneticPr fontId="2"/>
  </si>
  <si>
    <t>高谷</t>
    <rPh sb="0" eb="2">
      <t>タカヤ</t>
    </rPh>
    <phoneticPr fontId="2"/>
  </si>
  <si>
    <t>土田</t>
    <rPh sb="0" eb="2">
      <t>ツチダ</t>
    </rPh>
    <phoneticPr fontId="2"/>
  </si>
  <si>
    <t>第二</t>
    <rPh sb="0" eb="2">
      <t>ダイニ</t>
    </rPh>
    <phoneticPr fontId="2"/>
  </si>
  <si>
    <t>記入者</t>
  </si>
  <si>
    <t>晴れ</t>
    <rPh sb="0" eb="1">
      <t>ハ</t>
    </rPh>
    <phoneticPr fontId="2"/>
  </si>
  <si>
    <t>天気</t>
  </si>
  <si>
    <t>工　　場　　日　　報</t>
  </si>
  <si>
    <t>テンプレNo:</t>
    <phoneticPr fontId="2"/>
  </si>
  <si>
    <t>履歴</t>
    <rPh sb="0" eb="2">
      <t>リレキ</t>
    </rPh>
    <phoneticPr fontId="2"/>
  </si>
  <si>
    <t>最初月</t>
    <rPh sb="0" eb="2">
      <t>サイショ</t>
    </rPh>
    <rPh sb="2" eb="3">
      <t>ツキ</t>
    </rPh>
    <phoneticPr fontId="2"/>
  </si>
  <si>
    <t>A-002</t>
    <phoneticPr fontId="2"/>
  </si>
  <si>
    <t>14:00～23:00</t>
    <phoneticPr fontId="2"/>
  </si>
  <si>
    <t>円/kg</t>
    <phoneticPr fontId="2"/>
  </si>
  <si>
    <t>____________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</si>
</sst>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"/>
    <numFmt numFmtId="177" formatCode="ggge&quot;年&quot;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center" vertical="center" shrinkToFit="1"/>
    </xf>
    <xf numFmtId="38" fontId="0" fillId="0" borderId="0" xfId="1" applyFont="1">
      <alignment vertical="center"/>
    </xf>
    <xf numFmtId="56" fontId="0" fillId="0" borderId="0" xfId="0" applyNumberFormat="1">
      <alignment vertical="center"/>
    </xf>
    <xf numFmtId="176" fontId="0" fillId="0" borderId="0" xfId="0" applyNumberFormat="1">
      <alignment vertical="center"/>
    </xf>
    <xf numFmtId="38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6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9" fillId="0" borderId="9" xfId="0" applyFont="1" applyBorder="1" applyAlignment="1"/>
    <xf numFmtId="0" fontId="3" fillId="0" borderId="8" xfId="0" applyFont="1" applyBorder="1" applyAlignment="1">
      <alignment horizontal="center"/>
    </xf>
    <xf numFmtId="0" fontId="3" fillId="0" borderId="41" xfId="0" applyFont="1" applyBorder="1" applyAlignment="1">
      <alignment horizontal="right"/>
    </xf>
    <xf numFmtId="0" fontId="3" fillId="0" borderId="41" xfId="0" applyFont="1" applyBorder="1" applyAlignment="1">
      <alignment horizontal="center" vertical="center"/>
    </xf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0" fontId="3" fillId="0" borderId="61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0" applyFont="1" applyBorder="1" applyAlignment="1">
      <alignment horizontal="center" vertical="center"/>
    </xf>
    <xf numFmtId="0" fontId="3" fillId="0" borderId="60" xfId="0" applyFont="1" applyBorder="1">
      <alignment vertical="center"/>
    </xf>
    <xf numFmtId="0" fontId="3" fillId="0" borderId="63" xfId="0" applyFont="1" applyBorder="1" applyAlignment="1">
      <alignment horizontal="center"/>
    </xf>
    <xf numFmtId="0" fontId="3" fillId="0" borderId="13" xfId="0" applyFont="1" applyBorder="1">
      <alignment vertical="center"/>
    </xf>
    <xf numFmtId="38" fontId="3" fillId="0" borderId="13" xfId="1" applyFont="1" applyBorder="1" applyAlignment="1">
      <alignment horizontal="right" vertical="center"/>
    </xf>
    <xf numFmtId="40" fontId="3" fillId="0" borderId="13" xfId="1" applyNumberFormat="1" applyFont="1" applyBorder="1" applyAlignment="1">
      <alignment horizontal="right" vertical="center"/>
    </xf>
    <xf numFmtId="0" fontId="6" fillId="0" borderId="13" xfId="0" applyFont="1" applyBorder="1">
      <alignment vertical="center"/>
    </xf>
    <xf numFmtId="0" fontId="3" fillId="0" borderId="63" xfId="0" applyFont="1" applyBorder="1">
      <alignment vertical="center"/>
    </xf>
    <xf numFmtId="0" fontId="6" fillId="0" borderId="1" xfId="0" applyFont="1" applyBorder="1">
      <alignment vertical="center"/>
    </xf>
    <xf numFmtId="0" fontId="13" fillId="0" borderId="8" xfId="0" applyFont="1" applyBorder="1" applyAlignment="1"/>
    <xf numFmtId="0" fontId="14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8" fillId="0" borderId="0" xfId="0" applyFont="1">
      <alignment vertical="center"/>
    </xf>
    <xf numFmtId="38" fontId="8" fillId="0" borderId="0" xfId="1" applyFont="1" applyBorder="1">
      <alignment vertical="center"/>
    </xf>
    <xf numFmtId="0" fontId="3" fillId="0" borderId="4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 textRotation="255" shrinkToFit="1"/>
    </xf>
    <xf numFmtId="0" fontId="3" fillId="0" borderId="51" xfId="0" applyFont="1" applyBorder="1" applyAlignment="1">
      <alignment horizontal="center" vertical="top" shrinkToFit="1"/>
    </xf>
    <xf numFmtId="0" fontId="3" fillId="0" borderId="11" xfId="0" applyFont="1" applyBorder="1" applyAlignment="1">
      <alignment horizontal="center" vertical="top" shrinkToFit="1"/>
    </xf>
    <xf numFmtId="0" fontId="6" fillId="0" borderId="11" xfId="0" applyFont="1" applyBorder="1" applyAlignment="1">
      <alignment horizontal="center" vertical="center" shrinkToFit="1"/>
    </xf>
    <xf numFmtId="0" fontId="3" fillId="0" borderId="58" xfId="0" applyFont="1" applyBorder="1" applyAlignment="1">
      <alignment horizontal="center" vertical="top" shrinkToFit="1"/>
    </xf>
    <xf numFmtId="0" fontId="7" fillId="0" borderId="55" xfId="0" applyFont="1" applyBorder="1" applyAlignment="1">
      <alignment horizontal="center" vertical="top"/>
    </xf>
    <xf numFmtId="0" fontId="7" fillId="0" borderId="49" xfId="0" applyFont="1" applyBorder="1" applyAlignment="1">
      <alignment horizontal="center" vertical="top"/>
    </xf>
    <xf numFmtId="0" fontId="6" fillId="0" borderId="48" xfId="0" applyFont="1" applyBorder="1" applyAlignment="1"/>
    <xf numFmtId="0" fontId="3" fillId="0" borderId="57" xfId="0" applyFont="1" applyBorder="1" applyAlignment="1">
      <alignment horizontal="center" vertical="top" shrinkToFit="1"/>
    </xf>
    <xf numFmtId="0" fontId="7" fillId="0" borderId="59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53" xfId="0" applyFont="1" applyBorder="1" applyAlignment="1">
      <alignment horizontal="center" vertical="top"/>
    </xf>
    <xf numFmtId="0" fontId="7" fillId="0" borderId="34" xfId="0" applyFont="1" applyBorder="1" applyAlignment="1">
      <alignment horizontal="center" vertical="top"/>
    </xf>
    <xf numFmtId="0" fontId="3" fillId="0" borderId="47" xfId="0" applyFont="1" applyBorder="1" applyAlignment="1">
      <alignment horizontal="center" vertical="top" shrinkToFit="1"/>
    </xf>
    <xf numFmtId="0" fontId="3" fillId="0" borderId="48" xfId="0" applyFont="1" applyBorder="1" applyAlignment="1">
      <alignment horizontal="center" vertical="top" shrinkToFit="1"/>
    </xf>
    <xf numFmtId="0" fontId="8" fillId="0" borderId="50" xfId="0" applyFont="1" applyBorder="1" applyAlignment="1">
      <alignment horizontal="center" vertical="center" textRotation="255" shrinkToFit="1"/>
    </xf>
    <xf numFmtId="0" fontId="3" fillId="0" borderId="26" xfId="0" applyFont="1" applyBorder="1" applyAlignment="1">
      <alignment horizontal="center" vertical="top" shrinkToFit="1"/>
    </xf>
    <xf numFmtId="0" fontId="7" fillId="0" borderId="26" xfId="0" applyFont="1" applyBorder="1" applyAlignment="1">
      <alignment horizontal="center" vertical="top"/>
    </xf>
    <xf numFmtId="0" fontId="7" fillId="0" borderId="48" xfId="0" applyFont="1" applyBorder="1" applyAlignment="1">
      <alignment horizontal="center" vertical="top"/>
    </xf>
    <xf numFmtId="38" fontId="3" fillId="0" borderId="28" xfId="1" applyFont="1" applyBorder="1" applyAlignment="1">
      <alignment horizontal="center" vertical="center" shrinkToFit="1"/>
    </xf>
    <xf numFmtId="38" fontId="3" fillId="0" borderId="27" xfId="1" applyFont="1" applyBorder="1" applyAlignment="1">
      <alignment horizontal="center" vertical="center" shrinkToFit="1"/>
    </xf>
    <xf numFmtId="38" fontId="3" fillId="0" borderId="24" xfId="1" applyFont="1" applyBorder="1" applyAlignment="1">
      <alignment horizontal="center" vertical="center" shrinkToFit="1"/>
    </xf>
    <xf numFmtId="20" fontId="3" fillId="0" borderId="41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38" fontId="3" fillId="0" borderId="20" xfId="1" applyFont="1" applyBorder="1" applyAlignment="1">
      <alignment horizontal="right"/>
    </xf>
    <xf numFmtId="38" fontId="3" fillId="0" borderId="17" xfId="1" applyFont="1" applyBorder="1" applyAlignment="1">
      <alignment horizontal="right"/>
    </xf>
    <xf numFmtId="0" fontId="3" fillId="0" borderId="7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20" fontId="3" fillId="0" borderId="18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20" fontId="3" fillId="0" borderId="44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9" fillId="0" borderId="6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38" fontId="3" fillId="0" borderId="18" xfId="1" applyFont="1" applyBorder="1" applyAlignment="1">
      <alignment horizontal="right" vertical="center"/>
    </xf>
    <xf numFmtId="38" fontId="3" fillId="0" borderId="17" xfId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3" fillId="0" borderId="46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38" fontId="3" fillId="0" borderId="23" xfId="1" applyFont="1" applyBorder="1" applyAlignment="1">
      <alignment horizontal="right" vertical="center"/>
    </xf>
    <xf numFmtId="38" fontId="3" fillId="0" borderId="27" xfId="1" applyFont="1" applyBorder="1" applyAlignment="1">
      <alignment horizontal="right" vertical="center"/>
    </xf>
    <xf numFmtId="38" fontId="3" fillId="0" borderId="28" xfId="1" applyFont="1" applyBorder="1" applyAlignment="1">
      <alignment horizontal="right" vertical="center"/>
    </xf>
    <xf numFmtId="0" fontId="8" fillId="0" borderId="42" xfId="0" applyFont="1" applyBorder="1" applyAlignment="1">
      <alignment horizontal="center" vertical="center" textRotation="255"/>
    </xf>
    <xf numFmtId="0" fontId="8" fillId="0" borderId="21" xfId="0" applyFont="1" applyBorder="1" applyAlignment="1">
      <alignment horizontal="center" vertical="center" textRotation="255"/>
    </xf>
    <xf numFmtId="0" fontId="10" fillId="0" borderId="1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38" fontId="3" fillId="0" borderId="23" xfId="1" applyFont="1" applyBorder="1" applyAlignment="1">
      <alignment horizontal="center" vertical="center" shrinkToFit="1"/>
    </xf>
    <xf numFmtId="38" fontId="3" fillId="0" borderId="29" xfId="1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/>
    </xf>
    <xf numFmtId="38" fontId="3" fillId="0" borderId="20" xfId="1" applyFont="1" applyBorder="1" applyAlignment="1">
      <alignment horizontal="right" vertical="center"/>
    </xf>
    <xf numFmtId="0" fontId="3" fillId="0" borderId="34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shrinkToFit="1"/>
    </xf>
    <xf numFmtId="0" fontId="3" fillId="3" borderId="24" xfId="0" applyFont="1" applyFill="1" applyBorder="1" applyAlignment="1">
      <alignment horizontal="center" vertical="center" shrinkToFit="1"/>
    </xf>
    <xf numFmtId="0" fontId="3" fillId="3" borderId="23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vertical="center" shrinkToFit="1"/>
    </xf>
    <xf numFmtId="0" fontId="8" fillId="0" borderId="1" xfId="0" applyFont="1" applyBorder="1" applyAlignment="1">
      <alignment vertical="center" shrinkToFit="1"/>
    </xf>
    <xf numFmtId="0" fontId="8" fillId="0" borderId="8" xfId="0" applyFont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6" xfId="0" applyFont="1" applyBorder="1" applyAlignment="1">
      <alignment vertical="center" shrinkToFit="1"/>
    </xf>
    <xf numFmtId="0" fontId="8" fillId="0" borderId="2" xfId="0" applyFont="1" applyBorder="1" applyAlignment="1">
      <alignment vertical="center" shrinkToFit="1"/>
    </xf>
    <xf numFmtId="0" fontId="3" fillId="0" borderId="1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10" fillId="0" borderId="64" xfId="0" applyFont="1" applyBorder="1" applyAlignment="1">
      <alignment horizontal="center" vertical="center" shrinkToFit="1"/>
    </xf>
    <xf numFmtId="0" fontId="10" fillId="0" borderId="61" xfId="0" applyFont="1" applyBorder="1" applyAlignment="1">
      <alignment horizontal="center" vertical="center" shrinkToFit="1"/>
    </xf>
    <xf numFmtId="0" fontId="6" fillId="0" borderId="64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8" fontId="10" fillId="0" borderId="20" xfId="0" applyNumberFormat="1" applyFont="1" applyBorder="1" applyAlignment="1">
      <alignment horizontal="center"/>
    </xf>
    <xf numFmtId="38" fontId="10" fillId="0" borderId="36" xfId="0" applyNumberFormat="1" applyFont="1" applyBorder="1" applyAlignment="1">
      <alignment horizontal="center"/>
    </xf>
    <xf numFmtId="38" fontId="0" fillId="0" borderId="0" xfId="1" applyFont="1" applyAlignment="1">
      <alignment horizontal="center" vertical="center"/>
    </xf>
    <xf numFmtId="38" fontId="0" fillId="0" borderId="0" xfId="1" applyFont="1" applyAlignment="1">
      <alignment horizontal="center" vertical="center" shrinkToFit="1"/>
    </xf>
    <xf numFmtId="38" fontId="8" fillId="0" borderId="0" xfId="1" applyFont="1" applyBorder="1" applyAlignment="1">
      <alignment horizontal="center" vertical="center" shrinkToFit="1"/>
    </xf>
    <xf numFmtId="38" fontId="8" fillId="0" borderId="0" xfId="1" applyFont="1" applyAlignment="1">
      <alignment horizontal="center" vertical="center" shrinkToFit="1"/>
    </xf>
    <xf numFmtId="38" fontId="3" fillId="0" borderId="0" xfId="1" applyFont="1" applyAlignment="1">
      <alignment horizontal="center" vertical="center"/>
    </xf>
    <xf numFmtId="38" fontId="3" fillId="0" borderId="0" xfId="1" applyFont="1" applyAlignment="1">
      <alignment horizontal="center" vertical="center" shrinkToFit="1"/>
    </xf>
    <xf numFmtId="0" fontId="3" fillId="0" borderId="49" xfId="0" applyFont="1" applyBorder="1" applyAlignment="1">
      <alignment horizontal="center" vertical="top" shrinkToFit="1"/>
    </xf>
    <xf numFmtId="0" fontId="3" fillId="0" borderId="38" xfId="0" applyFont="1" applyBorder="1" applyAlignment="1">
      <alignment horizontal="center" vertical="top" shrinkToFit="1"/>
    </xf>
    <xf numFmtId="0" fontId="3" fillId="0" borderId="19" xfId="0" applyFont="1" applyBorder="1" applyAlignment="1">
      <alignment horizontal="center" vertical="top" shrinkToFit="1"/>
    </xf>
    <xf numFmtId="0" fontId="3" fillId="0" borderId="16" xfId="0" applyFont="1" applyBorder="1" applyAlignment="1">
      <alignment horizontal="center" vertical="top" shrinkToFit="1"/>
    </xf>
    <xf numFmtId="0" fontId="3" fillId="0" borderId="9" xfId="0" applyFont="1" applyBorder="1" applyAlignment="1">
      <alignment horizontal="center" vertical="top" shrinkToFit="1"/>
    </xf>
    <xf numFmtId="0" fontId="3" fillId="0" borderId="10" xfId="0" applyFont="1" applyBorder="1" applyAlignment="1">
      <alignment horizontal="center" vertical="top" shrinkToFi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38" fontId="10" fillId="0" borderId="31" xfId="1" applyFont="1" applyBorder="1" applyAlignment="1">
      <alignment horizontal="center" vertical="center"/>
    </xf>
    <xf numFmtId="38" fontId="10" fillId="0" borderId="30" xfId="1" applyFont="1" applyBorder="1" applyAlignment="1">
      <alignment horizontal="center" vertical="center"/>
    </xf>
    <xf numFmtId="38" fontId="10" fillId="0" borderId="26" xfId="1" applyFont="1" applyBorder="1" applyAlignment="1">
      <alignment horizontal="center" vertical="center"/>
    </xf>
    <xf numFmtId="38" fontId="10" fillId="0" borderId="25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shrinkToFit="1"/>
    </xf>
    <xf numFmtId="38" fontId="3" fillId="0" borderId="46" xfId="1" applyFont="1" applyBorder="1" applyAlignment="1">
      <alignment horizontal="center" vertical="center"/>
    </xf>
    <xf numFmtId="38" fontId="3" fillId="0" borderId="43" xfId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shrinkToFit="1"/>
    </xf>
    <xf numFmtId="38" fontId="10" fillId="0" borderId="31" xfId="0" applyNumberFormat="1" applyFont="1" applyBorder="1" applyAlignment="1">
      <alignment horizontal="center" vertical="center"/>
    </xf>
    <xf numFmtId="38" fontId="10" fillId="0" borderId="30" xfId="0" applyNumberFormat="1" applyFont="1" applyBorder="1" applyAlignment="1">
      <alignment horizontal="center" vertical="center"/>
    </xf>
    <xf numFmtId="38" fontId="10" fillId="0" borderId="26" xfId="0" applyNumberFormat="1" applyFont="1" applyBorder="1" applyAlignment="1">
      <alignment horizontal="center" vertical="center"/>
    </xf>
    <xf numFmtId="38" fontId="10" fillId="0" borderId="25" xfId="0" applyNumberFormat="1" applyFont="1" applyBorder="1" applyAlignment="1">
      <alignment horizontal="center" vertical="center"/>
    </xf>
    <xf numFmtId="38" fontId="10" fillId="0" borderId="0" xfId="0" applyNumberFormat="1" applyFont="1" applyAlignment="1">
      <alignment horizontal="center" vertical="center"/>
    </xf>
    <xf numFmtId="177" fontId="3" fillId="0" borderId="44" xfId="0" applyNumberFormat="1" applyFont="1" applyBorder="1" applyAlignment="1">
      <alignment horizontal="center" vertical="center"/>
    </xf>
    <xf numFmtId="177" fontId="3" fillId="0" borderId="41" xfId="0" applyNumberFormat="1" applyFont="1" applyBorder="1" applyAlignment="1">
      <alignment horizontal="center" vertical="center"/>
    </xf>
    <xf numFmtId="177" fontId="3" fillId="0" borderId="43" xfId="0" applyNumberFormat="1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top" shrinkToFit="1"/>
    </xf>
    <xf numFmtId="0" fontId="7" fillId="0" borderId="54" xfId="0" applyFont="1" applyBorder="1" applyAlignment="1">
      <alignment horizontal="center" vertical="top"/>
    </xf>
    <xf numFmtId="0" fontId="3" fillId="0" borderId="56" xfId="0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top" shrinkToFit="1"/>
    </xf>
    <xf numFmtId="0" fontId="7" fillId="0" borderId="40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5" xfId="0" applyFont="1" applyBorder="1" applyAlignment="1">
      <alignment horizontal="center" vertical="top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D1E6-583D-449A-A264-9B6CA026AA2B}">
  <sheetPr codeName="macroRefSheet"/>
  <dimension ref="A1:E35"/>
  <sheetViews>
    <sheetView workbookViewId="0">
      <selection activeCell="B35" sqref="B35"/>
    </sheetView>
  </sheetViews>
  <sheetFormatPr defaultRowHeight="18.75"/>
  <cols>
    <col min="1" max="1" width="11.125" customWidth="1"/>
    <col min="2" max="8" width="13.75" customWidth="1"/>
  </cols>
  <sheetData>
    <row r="1" spans="1:5">
      <c r="A1" t="s">
        <v>81</v>
      </c>
      <c r="B1" t="s">
        <v>84</v>
      </c>
    </row>
    <row r="2" spans="1:5">
      <c r="A2" t="s">
        <v>82</v>
      </c>
      <c r="B2" s="9"/>
      <c r="C2" s="13"/>
      <c r="E2" s="12"/>
    </row>
    <row r="3" spans="1:5">
      <c r="A3" t="s">
        <v>83</v>
      </c>
      <c r="B3" s="13"/>
      <c r="E3" s="12"/>
    </row>
    <row r="4" spans="1:5">
      <c r="A4" s="10"/>
    </row>
    <row r="5" spans="1:5">
      <c r="A5" s="11"/>
    </row>
    <row r="6" spans="1:5">
      <c r="A6" s="11"/>
    </row>
    <row r="7" spans="1:5">
      <c r="A7" s="11"/>
    </row>
    <row r="8" spans="1:5">
      <c r="A8" s="11"/>
    </row>
    <row r="9" spans="1:5">
      <c r="A9" s="11"/>
    </row>
    <row r="10" spans="1:5">
      <c r="A10" s="11"/>
    </row>
    <row r="11" spans="1:5">
      <c r="A11" s="11"/>
    </row>
    <row r="12" spans="1:5">
      <c r="A12" s="11"/>
    </row>
    <row r="13" spans="1:5">
      <c r="A13" s="11"/>
    </row>
    <row r="14" spans="1:5">
      <c r="A14" s="11"/>
    </row>
    <row r="15" spans="1:5">
      <c r="A15" s="11"/>
    </row>
    <row r="16" spans="1:5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1D86-C3D7-4299-943A-2C00C00B2847}">
  <sheetPr codeName="Sheet2">
    <pageSetUpPr fitToPage="1"/>
  </sheetPr>
  <dimension ref="A1:AH44"/>
  <sheetViews>
    <sheetView tabSelected="1" view="pageLayout" zoomScaleNormal="100" workbookViewId="0">
      <selection sqref="A1:L2"/>
    </sheetView>
  </sheetViews>
  <sheetFormatPr defaultRowHeight="18.75"/>
  <cols>
    <col min="1" max="1" width="4.75" customWidth="1"/>
    <col min="2" max="2" width="5" customWidth="1"/>
    <col min="3" max="4" width="5.125" customWidth="1"/>
    <col min="5" max="5" width="5.25" customWidth="1"/>
    <col min="6" max="7" width="5.125" customWidth="1"/>
    <col min="8" max="8" width="5.25" customWidth="1"/>
    <col min="9" max="10" width="5.125" customWidth="1"/>
    <col min="11" max="11" width="5.25" customWidth="1"/>
    <col min="12" max="13" width="5.125" customWidth="1"/>
    <col min="14" max="14" width="5.5" customWidth="1"/>
    <col min="15" max="16" width="5.125" customWidth="1"/>
    <col min="17" max="17" width="5.25" customWidth="1"/>
    <col min="18" max="18" width="5.75" bestFit="1" customWidth="1"/>
    <col min="19" max="19" width="5.5" customWidth="1"/>
    <col min="20" max="35" width="4.5" customWidth="1"/>
  </cols>
  <sheetData>
    <row r="1" spans="1:34" ht="18" customHeight="1">
      <c r="A1" s="171" t="s">
        <v>80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3"/>
      <c r="M1" s="43" t="s">
        <v>79</v>
      </c>
      <c r="N1" s="44"/>
      <c r="O1" s="193"/>
      <c r="P1" s="194"/>
      <c r="Q1" s="194"/>
      <c r="R1" s="194"/>
      <c r="S1" s="195"/>
    </row>
    <row r="2" spans="1:34" ht="18" customHeight="1" thickBot="1">
      <c r="A2" s="17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6"/>
      <c r="M2" s="45" t="s">
        <v>78</v>
      </c>
      <c r="N2" s="46"/>
      <c r="O2" s="177" t="s">
        <v>77</v>
      </c>
      <c r="P2" s="46"/>
      <c r="Q2" s="177"/>
      <c r="R2" s="76"/>
      <c r="S2" s="78"/>
    </row>
    <row r="3" spans="1:34" ht="19.5" customHeight="1" thickBot="1">
      <c r="A3" s="47" t="s">
        <v>76</v>
      </c>
      <c r="B3" s="48" t="s">
        <v>75</v>
      </c>
      <c r="C3" s="49"/>
      <c r="D3" s="49" t="s">
        <v>74</v>
      </c>
      <c r="E3" s="49"/>
      <c r="F3" s="49" t="s">
        <v>73</v>
      </c>
      <c r="G3" s="49"/>
      <c r="H3" s="50" t="s">
        <v>72</v>
      </c>
      <c r="I3" s="50"/>
      <c r="J3" s="49" t="s">
        <v>71</v>
      </c>
      <c r="K3" s="49"/>
      <c r="L3" s="49" t="s">
        <v>70</v>
      </c>
      <c r="M3" s="49"/>
      <c r="N3" s="49"/>
      <c r="O3" s="49"/>
      <c r="P3" s="49"/>
      <c r="Q3" s="49"/>
      <c r="R3" s="49"/>
      <c r="S3" s="196"/>
    </row>
    <row r="4" spans="1:34" ht="19.5" customHeight="1" thickBot="1">
      <c r="A4" s="47"/>
      <c r="B4" s="52" t="s">
        <v>69</v>
      </c>
      <c r="C4" s="53"/>
      <c r="D4" s="53" t="s">
        <v>87</v>
      </c>
      <c r="E4" s="54"/>
      <c r="F4" s="53" t="s">
        <v>87</v>
      </c>
      <c r="G4" s="54"/>
      <c r="H4" s="53" t="s">
        <v>87</v>
      </c>
      <c r="I4" s="54"/>
      <c r="J4" s="53" t="s">
        <v>87</v>
      </c>
      <c r="K4" s="54"/>
      <c r="L4" s="53" t="s">
        <v>68</v>
      </c>
      <c r="M4" s="53"/>
      <c r="N4" s="59"/>
      <c r="O4" s="59"/>
      <c r="P4" s="59"/>
      <c r="Q4" s="59"/>
      <c r="R4" s="59"/>
      <c r="S4" s="197"/>
    </row>
    <row r="5" spans="1:34" ht="19.5" customHeight="1" thickBot="1">
      <c r="A5" s="47"/>
      <c r="B5" s="55" t="s">
        <v>67</v>
      </c>
      <c r="C5" s="51"/>
      <c r="D5" s="51" t="s">
        <v>66</v>
      </c>
      <c r="E5" s="51"/>
      <c r="F5" s="51" t="s">
        <v>65</v>
      </c>
      <c r="G5" s="51"/>
      <c r="H5" s="51" t="s">
        <v>64</v>
      </c>
      <c r="I5" s="51"/>
      <c r="J5" s="51" t="s">
        <v>63</v>
      </c>
      <c r="K5" s="51"/>
      <c r="L5" s="51" t="s">
        <v>62</v>
      </c>
      <c r="M5" s="51"/>
      <c r="N5" s="51" t="s">
        <v>60</v>
      </c>
      <c r="O5" s="51"/>
      <c r="P5" s="165"/>
      <c r="Q5" s="165"/>
      <c r="R5" s="165"/>
      <c r="S5" s="198"/>
    </row>
    <row r="6" spans="1:34" ht="19.5" customHeight="1" thickBot="1">
      <c r="A6" s="47"/>
      <c r="B6" s="56" t="s">
        <v>54</v>
      </c>
      <c r="C6" s="57"/>
      <c r="D6" s="57" t="s">
        <v>61</v>
      </c>
      <c r="E6" s="57"/>
      <c r="F6" s="53" t="s">
        <v>87</v>
      </c>
      <c r="G6" s="54"/>
      <c r="H6" s="53" t="s">
        <v>87</v>
      </c>
      <c r="I6" s="54"/>
      <c r="J6" s="53" t="s">
        <v>87</v>
      </c>
      <c r="K6" s="54"/>
      <c r="L6" s="53" t="s">
        <v>87</v>
      </c>
      <c r="M6" s="54"/>
      <c r="N6" s="57" t="s">
        <v>85</v>
      </c>
      <c r="O6" s="57"/>
      <c r="P6" s="59"/>
      <c r="Q6" s="59"/>
      <c r="R6" s="59"/>
      <c r="S6" s="197"/>
    </row>
    <row r="7" spans="1:34" ht="19.5" customHeight="1" thickBot="1">
      <c r="A7" s="47" t="s">
        <v>41</v>
      </c>
      <c r="B7" s="48" t="s">
        <v>59</v>
      </c>
      <c r="C7" s="49"/>
      <c r="D7" s="49" t="s">
        <v>58</v>
      </c>
      <c r="E7" s="49"/>
      <c r="F7" s="49" t="s">
        <v>57</v>
      </c>
      <c r="G7" s="49"/>
      <c r="H7" s="49"/>
      <c r="I7" s="49"/>
      <c r="J7" s="49"/>
      <c r="K7" s="49"/>
      <c r="L7" s="49"/>
      <c r="M7" s="49"/>
      <c r="N7" s="49"/>
      <c r="O7" s="49"/>
      <c r="P7" s="169"/>
      <c r="Q7" s="170"/>
      <c r="R7" s="169"/>
      <c r="S7" s="199"/>
    </row>
    <row r="8" spans="1:34" ht="19.5" customHeight="1" thickBot="1">
      <c r="A8" s="47"/>
      <c r="B8" s="58" t="s">
        <v>56</v>
      </c>
      <c r="C8" s="59"/>
      <c r="D8" s="59" t="s">
        <v>55</v>
      </c>
      <c r="E8" s="59"/>
      <c r="F8" s="59" t="s">
        <v>54</v>
      </c>
      <c r="G8" s="59"/>
      <c r="H8" s="59"/>
      <c r="I8" s="59"/>
      <c r="J8" s="59"/>
      <c r="K8" s="59"/>
      <c r="L8" s="59"/>
      <c r="M8" s="59"/>
      <c r="N8" s="59"/>
      <c r="O8" s="59"/>
      <c r="P8" s="200"/>
      <c r="Q8" s="205"/>
      <c r="R8" s="200"/>
      <c r="S8" s="201"/>
    </row>
    <row r="9" spans="1:34" ht="19.5" customHeight="1" thickBot="1">
      <c r="A9" s="62" t="s">
        <v>53</v>
      </c>
      <c r="B9" s="63" t="s">
        <v>52</v>
      </c>
      <c r="C9" s="61"/>
      <c r="D9" s="60" t="s">
        <v>51</v>
      </c>
      <c r="E9" s="61"/>
      <c r="F9" s="60" t="s">
        <v>50</v>
      </c>
      <c r="G9" s="61"/>
      <c r="H9" s="60" t="s">
        <v>49</v>
      </c>
      <c r="I9" s="61"/>
      <c r="J9" s="60" t="s">
        <v>48</v>
      </c>
      <c r="K9" s="61"/>
      <c r="L9" s="60" t="s">
        <v>47</v>
      </c>
      <c r="M9" s="61"/>
      <c r="N9" s="166" t="s">
        <v>46</v>
      </c>
      <c r="O9" s="167"/>
      <c r="P9" s="168" t="s">
        <v>45</v>
      </c>
      <c r="Q9" s="167"/>
      <c r="R9" s="166"/>
      <c r="S9" s="202"/>
    </row>
    <row r="10" spans="1:34" ht="19.5" customHeight="1" thickBot="1">
      <c r="A10" s="62"/>
      <c r="B10" s="64" t="s">
        <v>44</v>
      </c>
      <c r="C10" s="65"/>
      <c r="D10" s="53" t="s">
        <v>87</v>
      </c>
      <c r="E10" s="54"/>
      <c r="F10" s="53" t="s">
        <v>87</v>
      </c>
      <c r="G10" s="54"/>
      <c r="H10" s="53" t="s">
        <v>87</v>
      </c>
      <c r="I10" s="54"/>
      <c r="J10" s="53" t="s">
        <v>87</v>
      </c>
      <c r="K10" s="54"/>
      <c r="L10" s="53" t="s">
        <v>87</v>
      </c>
      <c r="M10" s="54"/>
      <c r="N10" s="53" t="s">
        <v>87</v>
      </c>
      <c r="O10" s="54"/>
      <c r="P10" s="53" t="s">
        <v>87</v>
      </c>
      <c r="Q10" s="54"/>
      <c r="R10" s="203"/>
      <c r="S10" s="204"/>
    </row>
    <row r="11" spans="1:34" ht="33" customHeight="1" thickBot="1">
      <c r="A11" s="14" t="s">
        <v>43</v>
      </c>
      <c r="B11" s="89">
        <f>COUNTA(B3:K3)</f>
        <v>5</v>
      </c>
      <c r="C11" s="88"/>
      <c r="D11" s="15" t="s">
        <v>38</v>
      </c>
      <c r="E11" s="16" t="s">
        <v>42</v>
      </c>
      <c r="F11" s="87">
        <f>Q11-B11</f>
        <v>19</v>
      </c>
      <c r="G11" s="88"/>
      <c r="H11" s="15" t="s">
        <v>38</v>
      </c>
      <c r="I11" s="16" t="s">
        <v>41</v>
      </c>
      <c r="J11" s="17"/>
      <c r="K11" s="15" t="s">
        <v>38</v>
      </c>
      <c r="L11" s="16" t="s">
        <v>40</v>
      </c>
      <c r="M11" s="17"/>
      <c r="N11" s="15" t="s">
        <v>38</v>
      </c>
      <c r="O11" s="85" t="s">
        <v>39</v>
      </c>
      <c r="P11" s="86"/>
      <c r="Q11" s="87">
        <f>COUNTA(B3:S3,B5:S5,B7:S7,B9:S9)</f>
        <v>24</v>
      </c>
      <c r="R11" s="88"/>
      <c r="S11" s="18" t="s">
        <v>38</v>
      </c>
      <c r="V11" s="8"/>
      <c r="W11" s="8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20.25" customHeight="1">
      <c r="A12" s="92" t="s">
        <v>37</v>
      </c>
      <c r="B12" s="93"/>
      <c r="C12" s="96"/>
      <c r="D12" s="97"/>
      <c r="E12" s="97"/>
      <c r="F12" s="19" t="s">
        <v>36</v>
      </c>
      <c r="G12" s="98" t="s">
        <v>35</v>
      </c>
      <c r="H12" s="99"/>
      <c r="I12" s="100"/>
      <c r="J12" s="104" t="s">
        <v>34</v>
      </c>
      <c r="K12" s="105"/>
      <c r="L12" s="79">
        <v>0.33333333333333331</v>
      </c>
      <c r="M12" s="80"/>
      <c r="N12" s="20" t="s">
        <v>7</v>
      </c>
      <c r="O12" s="20"/>
      <c r="P12" s="20"/>
      <c r="Q12" s="20"/>
      <c r="R12" s="69">
        <v>0.70833333333333337</v>
      </c>
      <c r="S12" s="70"/>
      <c r="V12" s="8"/>
      <c r="W12" s="8"/>
    </row>
    <row r="13" spans="1:34" ht="20.25" customHeight="1" thickBot="1">
      <c r="A13" s="94"/>
      <c r="B13" s="95"/>
      <c r="C13" s="71"/>
      <c r="D13" s="72"/>
      <c r="E13" s="72"/>
      <c r="F13" s="21" t="s">
        <v>33</v>
      </c>
      <c r="G13" s="101"/>
      <c r="H13" s="102"/>
      <c r="I13" s="103"/>
      <c r="J13" s="73" t="s">
        <v>32</v>
      </c>
      <c r="K13" s="74"/>
      <c r="L13" s="75">
        <v>0.33333333333333331</v>
      </c>
      <c r="M13" s="76"/>
      <c r="N13" s="22" t="s">
        <v>7</v>
      </c>
      <c r="O13" s="22"/>
      <c r="P13" s="22"/>
      <c r="Q13" s="22"/>
      <c r="R13" s="77">
        <v>0.70833333333333337</v>
      </c>
      <c r="S13" s="78"/>
      <c r="V13" s="8"/>
      <c r="W13" s="8"/>
      <c r="X13" s="6"/>
      <c r="Y13" s="6"/>
      <c r="Z13" s="6"/>
      <c r="AA13" s="6"/>
      <c r="AB13" s="6"/>
    </row>
    <row r="14" spans="1:34" ht="21" customHeight="1">
      <c r="A14" s="112" t="s">
        <v>31</v>
      </c>
      <c r="B14" s="114" t="s">
        <v>30</v>
      </c>
      <c r="C14" s="107"/>
      <c r="D14" s="107"/>
      <c r="E14" s="108"/>
      <c r="F14" s="106"/>
      <c r="G14" s="107"/>
      <c r="H14" s="108"/>
      <c r="I14" s="106"/>
      <c r="J14" s="107"/>
      <c r="K14" s="108"/>
      <c r="L14" s="106"/>
      <c r="M14" s="107"/>
      <c r="N14" s="108"/>
      <c r="O14" s="106"/>
      <c r="P14" s="107"/>
      <c r="Q14" s="108"/>
      <c r="R14" s="81" t="s">
        <v>29</v>
      </c>
      <c r="S14" s="82"/>
      <c r="V14" s="8"/>
      <c r="W14" s="8"/>
      <c r="X14" s="6"/>
      <c r="Y14" s="6"/>
      <c r="Z14" s="6"/>
      <c r="AA14" s="6"/>
      <c r="AB14" s="6"/>
    </row>
    <row r="15" spans="1:34" ht="21" customHeight="1">
      <c r="A15" s="113"/>
      <c r="B15" s="115"/>
      <c r="C15" s="111"/>
      <c r="D15" s="110"/>
      <c r="E15" s="23" t="str">
        <f>IF(C15="","","kg")</f>
        <v/>
      </c>
      <c r="F15" s="109"/>
      <c r="G15" s="110"/>
      <c r="H15" s="23" t="str">
        <f>IF(F15="","","kg")</f>
        <v/>
      </c>
      <c r="I15" s="109"/>
      <c r="J15" s="110"/>
      <c r="K15" s="23" t="str">
        <f>IF(I15="","","kg")</f>
        <v/>
      </c>
      <c r="L15" s="109"/>
      <c r="M15" s="110"/>
      <c r="N15" s="23" t="str">
        <f>IF(L15="","","kg")</f>
        <v/>
      </c>
      <c r="O15" s="109"/>
      <c r="P15" s="110"/>
      <c r="Q15" s="23" t="str">
        <f>IF(O15="","","kg")</f>
        <v/>
      </c>
      <c r="R15" s="83"/>
      <c r="S15" s="84"/>
    </row>
    <row r="16" spans="1:34" ht="21" customHeight="1">
      <c r="A16" s="113"/>
      <c r="B16" s="115"/>
      <c r="C16" s="107"/>
      <c r="D16" s="107"/>
      <c r="E16" s="108"/>
      <c r="F16" s="107"/>
      <c r="G16" s="107"/>
      <c r="H16" s="108"/>
      <c r="I16" s="107"/>
      <c r="J16" s="107"/>
      <c r="K16" s="108"/>
      <c r="L16" s="107"/>
      <c r="M16" s="107"/>
      <c r="N16" s="108"/>
      <c r="O16" s="107"/>
      <c r="P16" s="107"/>
      <c r="Q16" s="108"/>
      <c r="R16" s="188" cm="1">
        <f t="array" ref="R16">SUMPRODUCT(IFERROR(VALUE(SUBSTITUTE(SUBSTITUTE(C14:Q21, "kg", ""), ",", "")), 0))</f>
        <v>0</v>
      </c>
      <c r="S16" s="189"/>
    </row>
    <row r="17" spans="1:29" ht="21" customHeight="1">
      <c r="A17" s="113"/>
      <c r="B17" s="115"/>
      <c r="C17" s="111"/>
      <c r="D17" s="110"/>
      <c r="E17" s="23" t="str">
        <f>IF(C17="","","kg")</f>
        <v/>
      </c>
      <c r="F17" s="109"/>
      <c r="G17" s="110"/>
      <c r="H17" s="23" t="str">
        <f>IF(F17="","","kg")</f>
        <v/>
      </c>
      <c r="I17" s="109"/>
      <c r="J17" s="110"/>
      <c r="K17" s="23" t="str">
        <f>IF(I17="","","kg")</f>
        <v/>
      </c>
      <c r="L17" s="109"/>
      <c r="M17" s="110"/>
      <c r="N17" s="23" t="str">
        <f>IF(L17="","","kg")</f>
        <v/>
      </c>
      <c r="O17" s="109"/>
      <c r="P17" s="110"/>
      <c r="Q17" s="23" t="str">
        <f>IF(O17="","","kg")</f>
        <v/>
      </c>
      <c r="R17" s="190"/>
      <c r="S17" s="191"/>
    </row>
    <row r="18" spans="1:29" ht="21" customHeight="1">
      <c r="A18" s="113"/>
      <c r="B18" s="115"/>
      <c r="C18" s="107"/>
      <c r="D18" s="107"/>
      <c r="E18" s="108"/>
      <c r="F18" s="106"/>
      <c r="G18" s="107"/>
      <c r="H18" s="108"/>
      <c r="I18" s="106"/>
      <c r="J18" s="107"/>
      <c r="K18" s="108"/>
      <c r="L18" s="106"/>
      <c r="M18" s="107"/>
      <c r="N18" s="108"/>
      <c r="O18" s="106"/>
      <c r="P18" s="107"/>
      <c r="Q18" s="108"/>
      <c r="R18" s="190"/>
      <c r="S18" s="191"/>
    </row>
    <row r="19" spans="1:29" ht="21" customHeight="1">
      <c r="A19" s="113"/>
      <c r="B19" s="115"/>
      <c r="C19" s="111"/>
      <c r="D19" s="110"/>
      <c r="E19" s="23" t="str">
        <f>IF(C19="","","kg")</f>
        <v/>
      </c>
      <c r="F19" s="109"/>
      <c r="G19" s="110"/>
      <c r="H19" s="23" t="str">
        <f>IF(F19="","","kg")</f>
        <v/>
      </c>
      <c r="I19" s="109"/>
      <c r="J19" s="110"/>
      <c r="K19" s="23" t="str">
        <f>IF(I19="","","kg")</f>
        <v/>
      </c>
      <c r="L19" s="109"/>
      <c r="M19" s="110"/>
      <c r="N19" s="23" t="str">
        <f>IF(L19="","","kg")</f>
        <v/>
      </c>
      <c r="O19" s="109"/>
      <c r="P19" s="110"/>
      <c r="Q19" s="23" t="str">
        <f>IF(O19="","","kg")</f>
        <v/>
      </c>
      <c r="R19" s="190"/>
      <c r="S19" s="191"/>
    </row>
    <row r="20" spans="1:29" ht="21" customHeight="1">
      <c r="A20" s="113"/>
      <c r="B20" s="115"/>
      <c r="C20" s="107"/>
      <c r="D20" s="107"/>
      <c r="E20" s="108"/>
      <c r="F20" s="106"/>
      <c r="G20" s="107"/>
      <c r="H20" s="108"/>
      <c r="I20" s="106"/>
      <c r="J20" s="107"/>
      <c r="K20" s="108"/>
      <c r="L20" s="106"/>
      <c r="M20" s="107"/>
      <c r="N20" s="108"/>
      <c r="O20" s="106"/>
      <c r="P20" s="107"/>
      <c r="Q20" s="108"/>
      <c r="R20" s="190"/>
      <c r="S20" s="191"/>
      <c r="V20" s="7"/>
      <c r="W20" s="7"/>
      <c r="X20" s="6"/>
      <c r="Y20" s="6"/>
      <c r="Z20" s="6"/>
      <c r="AA20" s="5"/>
      <c r="AB20" s="4"/>
      <c r="AC20" s="4"/>
    </row>
    <row r="21" spans="1:29" ht="21" customHeight="1" thickBot="1">
      <c r="A21" s="113"/>
      <c r="B21" s="116"/>
      <c r="C21" s="122"/>
      <c r="D21" s="91"/>
      <c r="E21" s="24" t="str">
        <f>IF(C21="","","kg")</f>
        <v/>
      </c>
      <c r="F21" s="90"/>
      <c r="G21" s="91"/>
      <c r="H21" s="24" t="str">
        <f>IF(F21="","","kg")</f>
        <v/>
      </c>
      <c r="I21" s="90"/>
      <c r="J21" s="91"/>
      <c r="K21" s="24" t="str">
        <f>IF(I21="","","kg")</f>
        <v/>
      </c>
      <c r="L21" s="90"/>
      <c r="M21" s="91"/>
      <c r="N21" s="24" t="str">
        <f>IF(L21="","","kg")</f>
        <v/>
      </c>
      <c r="O21" s="90"/>
      <c r="P21" s="91"/>
      <c r="Q21" s="25" t="str">
        <f>IF(O21="","","kg")</f>
        <v/>
      </c>
      <c r="R21" s="192"/>
      <c r="S21" s="191"/>
      <c r="V21" s="7"/>
      <c r="W21" s="7"/>
      <c r="X21" s="6"/>
      <c r="Y21" s="6"/>
      <c r="Z21" s="6"/>
      <c r="AA21" s="5"/>
      <c r="AB21" s="4"/>
      <c r="AC21" s="4"/>
    </row>
    <row r="22" spans="1:29" ht="21" customHeight="1">
      <c r="A22" s="113"/>
      <c r="B22" s="114" t="s">
        <v>28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81" t="s">
        <v>27</v>
      </c>
      <c r="S22" s="82"/>
    </row>
    <row r="23" spans="1:29" ht="21" customHeight="1">
      <c r="A23" s="113"/>
      <c r="B23" s="115"/>
      <c r="C23" s="109"/>
      <c r="D23" s="110"/>
      <c r="E23" s="23" t="str">
        <f>IF(C23="","","kg")</f>
        <v/>
      </c>
      <c r="F23" s="109"/>
      <c r="G23" s="110"/>
      <c r="H23" s="23" t="str">
        <f>IF(F23="","","kg")</f>
        <v/>
      </c>
      <c r="I23" s="109"/>
      <c r="J23" s="110"/>
      <c r="K23" s="23" t="str">
        <f>IF(I23="","","kg")</f>
        <v/>
      </c>
      <c r="L23" s="109"/>
      <c r="M23" s="110"/>
      <c r="N23" s="23" t="str">
        <f>IF(L23="","","kg")</f>
        <v/>
      </c>
      <c r="O23" s="109"/>
      <c r="P23" s="110"/>
      <c r="Q23" s="23" t="str">
        <f>IF(O23="","","kg")</f>
        <v/>
      </c>
      <c r="R23" s="83"/>
      <c r="S23" s="84"/>
    </row>
    <row r="24" spans="1:29" ht="21" customHeight="1">
      <c r="A24" s="113"/>
      <c r="B24" s="115"/>
      <c r="C24" s="117"/>
      <c r="D24" s="117"/>
      <c r="E24" s="118"/>
      <c r="F24" s="117"/>
      <c r="G24" s="117"/>
      <c r="H24" s="118"/>
      <c r="I24" s="117"/>
      <c r="J24" s="117"/>
      <c r="K24" s="118"/>
      <c r="L24" s="117"/>
      <c r="M24" s="117"/>
      <c r="N24" s="118"/>
      <c r="O24" s="117"/>
      <c r="P24" s="117"/>
      <c r="Q24" s="118"/>
      <c r="R24" s="180" cm="1">
        <f t="array" ref="R24">SUMPRODUCT(IFERROR(VALUE(SUBSTITUTE(SUBSTITUTE(C22:Q33, "kg", ""), ",", "")), 0))</f>
        <v>0</v>
      </c>
      <c r="S24" s="181"/>
    </row>
    <row r="25" spans="1:29" ht="21" customHeight="1">
      <c r="A25" s="113"/>
      <c r="B25" s="115"/>
      <c r="C25" s="111"/>
      <c r="D25" s="110"/>
      <c r="E25" s="23" t="str">
        <f>IF(C25="","","kg")</f>
        <v/>
      </c>
      <c r="F25" s="109"/>
      <c r="G25" s="110"/>
      <c r="H25" s="23" t="str">
        <f>IF(F25="","","kg")</f>
        <v/>
      </c>
      <c r="I25" s="109"/>
      <c r="J25" s="110"/>
      <c r="K25" s="23" t="str">
        <f>IF(I25="","","kg")</f>
        <v/>
      </c>
      <c r="L25" s="109"/>
      <c r="M25" s="110"/>
      <c r="N25" s="23" t="str">
        <f>IF(L25="","","kg")</f>
        <v/>
      </c>
      <c r="O25" s="109"/>
      <c r="P25" s="110"/>
      <c r="Q25" s="23" t="str">
        <f>IF(O25="","","kg")</f>
        <v/>
      </c>
      <c r="R25" s="182"/>
      <c r="S25" s="183"/>
    </row>
    <row r="26" spans="1:29" ht="21" customHeight="1">
      <c r="A26" s="113"/>
      <c r="B26" s="115"/>
      <c r="C26" s="132"/>
      <c r="D26" s="132"/>
      <c r="E26" s="133"/>
      <c r="F26" s="134"/>
      <c r="G26" s="132"/>
      <c r="H26" s="133"/>
      <c r="I26" s="134"/>
      <c r="J26" s="132"/>
      <c r="K26" s="133"/>
      <c r="L26" s="134"/>
      <c r="M26" s="132"/>
      <c r="N26" s="133"/>
      <c r="O26" s="134"/>
      <c r="P26" s="132"/>
      <c r="Q26" s="133"/>
      <c r="R26" s="182"/>
      <c r="S26" s="183"/>
    </row>
    <row r="27" spans="1:29" ht="21" customHeight="1">
      <c r="A27" s="113"/>
      <c r="B27" s="115"/>
      <c r="C27" s="111"/>
      <c r="D27" s="110"/>
      <c r="E27" s="23" t="str">
        <f>IF(C27="","","kg")</f>
        <v/>
      </c>
      <c r="F27" s="109"/>
      <c r="G27" s="110"/>
      <c r="H27" s="23" t="str">
        <f>IF(F27="","","kg")</f>
        <v/>
      </c>
      <c r="I27" s="109"/>
      <c r="J27" s="110"/>
      <c r="K27" s="23" t="str">
        <f>IF(I27="","","kg")</f>
        <v/>
      </c>
      <c r="L27" s="109"/>
      <c r="M27" s="110"/>
      <c r="N27" s="23" t="str">
        <f>IF(L27="","","kg")</f>
        <v/>
      </c>
      <c r="O27" s="109"/>
      <c r="P27" s="110"/>
      <c r="Q27" s="23" t="str">
        <f>IF(O27="","","kg")</f>
        <v/>
      </c>
      <c r="R27" s="182"/>
      <c r="S27" s="183"/>
    </row>
    <row r="28" spans="1:29" ht="21" customHeight="1">
      <c r="A28" s="113"/>
      <c r="B28" s="115"/>
      <c r="C28" s="184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82"/>
      <c r="S28" s="183"/>
    </row>
    <row r="29" spans="1:29" ht="21" customHeight="1">
      <c r="A29" s="113"/>
      <c r="B29" s="115"/>
      <c r="C29" s="111"/>
      <c r="D29" s="110"/>
      <c r="E29" s="23" t="str">
        <f>IF(C29="","","kg")</f>
        <v/>
      </c>
      <c r="F29" s="109"/>
      <c r="G29" s="110"/>
      <c r="H29" s="23" t="str">
        <f>IF(F29="","","kg")</f>
        <v/>
      </c>
      <c r="I29" s="109"/>
      <c r="J29" s="110"/>
      <c r="K29" s="23" t="str">
        <f>IF(I29="","","kg")</f>
        <v/>
      </c>
      <c r="L29" s="109"/>
      <c r="M29" s="110"/>
      <c r="N29" s="23" t="str">
        <f>IF(L29="","","kg")</f>
        <v/>
      </c>
      <c r="O29" s="109"/>
      <c r="P29" s="110"/>
      <c r="Q29" s="23" t="str">
        <f>IF(O29="","","kg")</f>
        <v/>
      </c>
      <c r="R29" s="182"/>
      <c r="S29" s="183"/>
    </row>
    <row r="30" spans="1:29" ht="21" customHeight="1">
      <c r="A30" s="113"/>
      <c r="B30" s="115"/>
      <c r="C30" s="66"/>
      <c r="D30" s="67"/>
      <c r="E30" s="68"/>
      <c r="F30" s="119"/>
      <c r="G30" s="67"/>
      <c r="H30" s="68"/>
      <c r="I30" s="119"/>
      <c r="J30" s="67"/>
      <c r="K30" s="68"/>
      <c r="L30" s="119"/>
      <c r="M30" s="67"/>
      <c r="N30" s="68"/>
      <c r="O30" s="119"/>
      <c r="P30" s="67"/>
      <c r="Q30" s="120"/>
      <c r="R30" s="182"/>
      <c r="S30" s="183"/>
    </row>
    <row r="31" spans="1:29" ht="21" customHeight="1" thickBot="1">
      <c r="A31" s="113"/>
      <c r="B31" s="115"/>
      <c r="C31" s="111"/>
      <c r="D31" s="110"/>
      <c r="E31" s="23" t="str">
        <f>IF(C31="","","kg")</f>
        <v/>
      </c>
      <c r="F31" s="109"/>
      <c r="G31" s="110"/>
      <c r="H31" s="23" t="str">
        <f>IF(F31="","","kg")</f>
        <v/>
      </c>
      <c r="I31" s="109"/>
      <c r="J31" s="110"/>
      <c r="K31" s="23" t="str">
        <f>IF(I31="","","kg")</f>
        <v/>
      </c>
      <c r="L31" s="109"/>
      <c r="M31" s="110"/>
      <c r="N31" s="23" t="str">
        <f>IF(L31="","","kg")</f>
        <v/>
      </c>
      <c r="O31" s="109"/>
      <c r="P31" s="110"/>
      <c r="Q31" s="23" t="str">
        <f>IF(O31="","","kg")</f>
        <v/>
      </c>
      <c r="R31" s="182"/>
      <c r="S31" s="183"/>
    </row>
    <row r="32" spans="1:29" ht="21" customHeight="1">
      <c r="A32" s="113"/>
      <c r="B32" s="115"/>
      <c r="C32" s="187"/>
      <c r="D32" s="178"/>
      <c r="E32" s="184"/>
      <c r="F32" s="118"/>
      <c r="G32" s="178"/>
      <c r="H32" s="184"/>
      <c r="I32" s="118"/>
      <c r="J32" s="178"/>
      <c r="K32" s="184"/>
      <c r="L32" s="118"/>
      <c r="M32" s="178"/>
      <c r="N32" s="184"/>
      <c r="O32" s="118"/>
      <c r="P32" s="178"/>
      <c r="Q32" s="179"/>
      <c r="R32" s="185" t="s">
        <v>26</v>
      </c>
      <c r="S32" s="186"/>
    </row>
    <row r="33" spans="1:19" ht="21" customHeight="1" thickBot="1">
      <c r="A33" s="113"/>
      <c r="B33" s="121"/>
      <c r="C33" s="122"/>
      <c r="D33" s="91"/>
      <c r="E33" s="23" t="str">
        <f>IF(C33="","","kg")</f>
        <v/>
      </c>
      <c r="F33" s="90"/>
      <c r="G33" s="91"/>
      <c r="H33" s="23" t="str">
        <f>IF(F33="","","kg")</f>
        <v/>
      </c>
      <c r="I33" s="90"/>
      <c r="J33" s="91"/>
      <c r="K33" s="23" t="str">
        <f>IF(I33="","","kg")</f>
        <v/>
      </c>
      <c r="L33" s="90"/>
      <c r="M33" s="91"/>
      <c r="N33" s="23" t="str">
        <f>IF(L33="","","kg")</f>
        <v/>
      </c>
      <c r="O33" s="90"/>
      <c r="P33" s="91"/>
      <c r="Q33" s="23" t="str">
        <f>IF(O33="","","kg")</f>
        <v/>
      </c>
      <c r="R33" s="157">
        <f>R16+R24</f>
        <v>0</v>
      </c>
      <c r="S33" s="158"/>
    </row>
    <row r="34" spans="1:19" ht="30" customHeight="1" thickBot="1">
      <c r="A34" s="149" t="s">
        <v>25</v>
      </c>
      <c r="B34" s="150"/>
      <c r="C34" s="26" t="s">
        <v>24</v>
      </c>
      <c r="D34" s="27"/>
      <c r="E34" s="28" t="s">
        <v>19</v>
      </c>
      <c r="F34" s="29" t="s">
        <v>23</v>
      </c>
      <c r="G34" s="27"/>
      <c r="H34" s="28" t="s">
        <v>19</v>
      </c>
      <c r="I34" s="29" t="s">
        <v>22</v>
      </c>
      <c r="J34" s="27"/>
      <c r="K34" s="28" t="s">
        <v>19</v>
      </c>
      <c r="L34" s="29" t="s">
        <v>21</v>
      </c>
      <c r="M34" s="27"/>
      <c r="N34" s="28" t="s">
        <v>19</v>
      </c>
      <c r="O34" s="29" t="s">
        <v>20</v>
      </c>
      <c r="P34" s="30"/>
      <c r="Q34" s="31" t="s">
        <v>19</v>
      </c>
      <c r="R34" s="151"/>
      <c r="S34" s="152"/>
    </row>
    <row r="35" spans="1:19" ht="20.25" customHeight="1" thickBot="1">
      <c r="A35" s="153" t="s">
        <v>18</v>
      </c>
      <c r="B35" s="154"/>
      <c r="C35" s="30" t="s">
        <v>17</v>
      </c>
      <c r="D35" s="32"/>
      <c r="E35" s="33"/>
      <c r="F35" s="33"/>
      <c r="G35" s="32" t="s">
        <v>15</v>
      </c>
      <c r="H35" s="34"/>
      <c r="I35" s="34"/>
      <c r="J35" s="35"/>
      <c r="K35" s="32" t="s">
        <v>86</v>
      </c>
      <c r="L35" s="32"/>
      <c r="M35" s="32"/>
      <c r="N35" s="32"/>
      <c r="O35" s="32"/>
      <c r="P35" s="32"/>
      <c r="Q35" s="32"/>
      <c r="R35" s="32"/>
      <c r="S35" s="36"/>
    </row>
    <row r="36" spans="1:19" ht="20.25" customHeight="1" thickBot="1">
      <c r="A36" s="155"/>
      <c r="B36" s="156"/>
      <c r="C36" s="30" t="s">
        <v>16</v>
      </c>
      <c r="D36" s="32"/>
      <c r="E36" s="33"/>
      <c r="F36" s="33"/>
      <c r="G36" s="32" t="s">
        <v>15</v>
      </c>
      <c r="H36" s="33"/>
      <c r="I36" s="33"/>
      <c r="J36" s="35"/>
      <c r="K36" s="32" t="s">
        <v>86</v>
      </c>
      <c r="L36" s="32"/>
      <c r="M36" s="32"/>
      <c r="N36" s="32"/>
      <c r="O36" s="32"/>
      <c r="P36" s="32"/>
      <c r="Q36" s="32"/>
      <c r="R36" s="32"/>
      <c r="S36" s="36"/>
    </row>
    <row r="37" spans="1:19" ht="18.75" customHeight="1">
      <c r="A37" s="137" t="s">
        <v>14</v>
      </c>
      <c r="B37" s="138"/>
      <c r="C37" s="139"/>
      <c r="D37" s="143" t="s">
        <v>13</v>
      </c>
      <c r="E37" s="144"/>
      <c r="F37" s="145"/>
      <c r="G37" s="135" t="s">
        <v>12</v>
      </c>
      <c r="H37" s="124"/>
      <c r="I37" s="125"/>
      <c r="J37" s="37"/>
      <c r="K37" s="135" t="s">
        <v>11</v>
      </c>
      <c r="L37" s="124"/>
      <c r="M37" s="125"/>
      <c r="N37" s="37"/>
      <c r="O37" s="128" t="s">
        <v>10</v>
      </c>
      <c r="P37" s="129"/>
      <c r="Q37" s="124"/>
      <c r="R37" s="125"/>
      <c r="S37" s="38"/>
    </row>
    <row r="38" spans="1:19" ht="13.5" customHeight="1" thickBot="1">
      <c r="A38" s="140"/>
      <c r="B38" s="141"/>
      <c r="C38" s="142"/>
      <c r="D38" s="146"/>
      <c r="E38" s="147"/>
      <c r="F38" s="148"/>
      <c r="G38" s="136"/>
      <c r="H38" s="126"/>
      <c r="I38" s="127"/>
      <c r="J38" s="39" t="s">
        <v>86</v>
      </c>
      <c r="K38" s="136"/>
      <c r="L38" s="126"/>
      <c r="M38" s="127"/>
      <c r="N38" s="39" t="s">
        <v>86</v>
      </c>
      <c r="O38" s="130"/>
      <c r="P38" s="131"/>
      <c r="Q38" s="126"/>
      <c r="R38" s="127"/>
      <c r="S38" s="40" t="s">
        <v>86</v>
      </c>
    </row>
    <row r="39" spans="1:19" ht="21" customHeight="1">
      <c r="A39" s="3"/>
      <c r="B39" s="3"/>
      <c r="C39" s="41" t="s">
        <v>3</v>
      </c>
      <c r="D39" s="41" t="s">
        <v>7</v>
      </c>
      <c r="E39" s="41" t="s">
        <v>3</v>
      </c>
      <c r="F39" s="41" t="s">
        <v>9</v>
      </c>
      <c r="G39" s="42"/>
      <c r="H39" s="161"/>
      <c r="I39" s="161"/>
      <c r="J39" s="161"/>
      <c r="K39" s="41" t="s">
        <v>8</v>
      </c>
      <c r="L39" s="41"/>
      <c r="M39" s="41"/>
      <c r="N39" s="3"/>
      <c r="O39" s="3"/>
      <c r="P39" s="3"/>
      <c r="Q39" s="3"/>
      <c r="R39" s="3"/>
      <c r="S39" s="3"/>
    </row>
    <row r="40" spans="1:19" ht="21" customHeight="1">
      <c r="A40" s="3"/>
      <c r="B40" s="3"/>
      <c r="C40" s="41" t="s">
        <v>3</v>
      </c>
      <c r="D40" s="41" t="s">
        <v>7</v>
      </c>
      <c r="E40" s="41" t="s">
        <v>3</v>
      </c>
      <c r="F40" s="41" t="s">
        <v>6</v>
      </c>
      <c r="G40" s="41"/>
      <c r="H40" s="162"/>
      <c r="I40" s="162"/>
      <c r="J40" s="162"/>
      <c r="K40" s="41" t="s">
        <v>5</v>
      </c>
      <c r="L40" s="41"/>
      <c r="M40" s="41"/>
      <c r="N40" s="3"/>
      <c r="O40" s="3"/>
      <c r="P40" s="3"/>
      <c r="Q40" s="3"/>
      <c r="R40" s="3"/>
      <c r="S40" s="3"/>
    </row>
    <row r="41" spans="1:19" ht="8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S41" s="3"/>
    </row>
    <row r="42" spans="1:19">
      <c r="A42" s="3"/>
      <c r="B42" s="3"/>
      <c r="C42" s="3"/>
      <c r="D42" s="3"/>
      <c r="E42" s="3" t="s">
        <v>4</v>
      </c>
      <c r="F42" s="2" t="s">
        <v>2</v>
      </c>
      <c r="G42" s="3"/>
      <c r="H42" s="163"/>
      <c r="I42" s="163"/>
      <c r="J42" s="2" t="s">
        <v>0</v>
      </c>
      <c r="K42" s="3"/>
      <c r="L42" s="2" t="s">
        <v>3</v>
      </c>
      <c r="M42" s="2" t="s">
        <v>2</v>
      </c>
      <c r="N42" s="164"/>
      <c r="O42" s="164"/>
      <c r="P42" s="164"/>
      <c r="Q42" s="164"/>
      <c r="R42" s="164"/>
      <c r="S42" s="2" t="s">
        <v>0</v>
      </c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F44" s="2" t="s">
        <v>1</v>
      </c>
      <c r="H44" s="159"/>
      <c r="I44" s="159"/>
      <c r="J44" s="1" t="s">
        <v>0</v>
      </c>
      <c r="M44" s="1" t="s">
        <v>1</v>
      </c>
      <c r="N44" s="160"/>
      <c r="O44" s="160"/>
      <c r="P44" s="160"/>
      <c r="Q44" s="160"/>
      <c r="R44" s="160"/>
      <c r="S44" s="1" t="s">
        <v>0</v>
      </c>
    </row>
  </sheetData>
  <mergeCells count="222">
    <mergeCell ref="I19:J19"/>
    <mergeCell ref="O1:P1"/>
    <mergeCell ref="Q1:S1"/>
    <mergeCell ref="Q11:R11"/>
    <mergeCell ref="R3:S3"/>
    <mergeCell ref="R4:S4"/>
    <mergeCell ref="R5:S5"/>
    <mergeCell ref="R6:S6"/>
    <mergeCell ref="R7:S7"/>
    <mergeCell ref="R8:S8"/>
    <mergeCell ref="R9:S9"/>
    <mergeCell ref="R10:S10"/>
    <mergeCell ref="P8:Q8"/>
    <mergeCell ref="O27:P27"/>
    <mergeCell ref="R32:S32"/>
    <mergeCell ref="L32:N32"/>
    <mergeCell ref="I32:K32"/>
    <mergeCell ref="F32:H32"/>
    <mergeCell ref="O29:P29"/>
    <mergeCell ref="O14:Q14"/>
    <mergeCell ref="O15:P15"/>
    <mergeCell ref="C32:E32"/>
    <mergeCell ref="L23:M23"/>
    <mergeCell ref="L24:N24"/>
    <mergeCell ref="C25:D25"/>
    <mergeCell ref="F25:G25"/>
    <mergeCell ref="O28:Q28"/>
    <mergeCell ref="F30:H30"/>
    <mergeCell ref="I30:K30"/>
    <mergeCell ref="C16:E16"/>
    <mergeCell ref="L16:N16"/>
    <mergeCell ref="R16:S21"/>
    <mergeCell ref="C17:D17"/>
    <mergeCell ref="F17:G17"/>
    <mergeCell ref="I17:J17"/>
    <mergeCell ref="C19:D19"/>
    <mergeCell ref="F19:G19"/>
    <mergeCell ref="O25:P25"/>
    <mergeCell ref="F6:G6"/>
    <mergeCell ref="A1:L2"/>
    <mergeCell ref="Q2:S2"/>
    <mergeCell ref="O2:P2"/>
    <mergeCell ref="O32:Q32"/>
    <mergeCell ref="O16:Q16"/>
    <mergeCell ref="O17:P17"/>
    <mergeCell ref="O18:Q18"/>
    <mergeCell ref="O19:P19"/>
    <mergeCell ref="O20:Q20"/>
    <mergeCell ref="O21:P21"/>
    <mergeCell ref="R24:S31"/>
    <mergeCell ref="C28:E28"/>
    <mergeCell ref="L22:N22"/>
    <mergeCell ref="L30:N30"/>
    <mergeCell ref="C31:D31"/>
    <mergeCell ref="F31:G31"/>
    <mergeCell ref="R22:S23"/>
    <mergeCell ref="C23:D23"/>
    <mergeCell ref="F23:G23"/>
    <mergeCell ref="I23:J23"/>
    <mergeCell ref="I31:J31"/>
    <mergeCell ref="L31:M31"/>
    <mergeCell ref="R33:S33"/>
    <mergeCell ref="H44:I44"/>
    <mergeCell ref="N44:R44"/>
    <mergeCell ref="H39:J39"/>
    <mergeCell ref="H40:J40"/>
    <mergeCell ref="H42:I42"/>
    <mergeCell ref="N42:R42"/>
    <mergeCell ref="O33:P33"/>
    <mergeCell ref="N3:O3"/>
    <mergeCell ref="P3:Q3"/>
    <mergeCell ref="N4:O4"/>
    <mergeCell ref="P4:Q4"/>
    <mergeCell ref="P5:Q5"/>
    <mergeCell ref="P6:Q6"/>
    <mergeCell ref="N9:O9"/>
    <mergeCell ref="P9:Q9"/>
    <mergeCell ref="N10:O10"/>
    <mergeCell ref="P10:Q10"/>
    <mergeCell ref="N7:O7"/>
    <mergeCell ref="P7:Q7"/>
    <mergeCell ref="O31:P31"/>
    <mergeCell ref="O23:P23"/>
    <mergeCell ref="O22:Q22"/>
    <mergeCell ref="O24:Q24"/>
    <mergeCell ref="L33:M33"/>
    <mergeCell ref="L37:M38"/>
    <mergeCell ref="Q37:R38"/>
    <mergeCell ref="O37:P38"/>
    <mergeCell ref="F28:H28"/>
    <mergeCell ref="C26:E26"/>
    <mergeCell ref="F26:H26"/>
    <mergeCell ref="I26:K26"/>
    <mergeCell ref="L26:N26"/>
    <mergeCell ref="F27:G27"/>
    <mergeCell ref="I27:J27"/>
    <mergeCell ref="L27:M27"/>
    <mergeCell ref="K37:K38"/>
    <mergeCell ref="A37:C38"/>
    <mergeCell ref="D37:F38"/>
    <mergeCell ref="G37:G38"/>
    <mergeCell ref="H37:I38"/>
    <mergeCell ref="O26:Q26"/>
    <mergeCell ref="I28:K28"/>
    <mergeCell ref="A34:B34"/>
    <mergeCell ref="R34:S34"/>
    <mergeCell ref="A35:B36"/>
    <mergeCell ref="F33:G33"/>
    <mergeCell ref="C33:D33"/>
    <mergeCell ref="I29:J29"/>
    <mergeCell ref="L20:N20"/>
    <mergeCell ref="C21:D21"/>
    <mergeCell ref="F21:G21"/>
    <mergeCell ref="I21:J21"/>
    <mergeCell ref="L21:M21"/>
    <mergeCell ref="C22:E22"/>
    <mergeCell ref="F22:H22"/>
    <mergeCell ref="I22:K22"/>
    <mergeCell ref="C24:E24"/>
    <mergeCell ref="F24:H24"/>
    <mergeCell ref="C20:E20"/>
    <mergeCell ref="I33:J33"/>
    <mergeCell ref="A12:B13"/>
    <mergeCell ref="C12:E12"/>
    <mergeCell ref="G12:I13"/>
    <mergeCell ref="J12:K12"/>
    <mergeCell ref="L14:N14"/>
    <mergeCell ref="L17:M17"/>
    <mergeCell ref="C18:E18"/>
    <mergeCell ref="F18:H18"/>
    <mergeCell ref="I18:K18"/>
    <mergeCell ref="L18:N18"/>
    <mergeCell ref="F16:H16"/>
    <mergeCell ref="I16:K16"/>
    <mergeCell ref="C15:D15"/>
    <mergeCell ref="F15:G15"/>
    <mergeCell ref="I15:J15"/>
    <mergeCell ref="L15:M15"/>
    <mergeCell ref="A14:A33"/>
    <mergeCell ref="B14:B21"/>
    <mergeCell ref="C14:E14"/>
    <mergeCell ref="F14:H14"/>
    <mergeCell ref="I14:K14"/>
    <mergeCell ref="F20:H20"/>
    <mergeCell ref="I20:K20"/>
    <mergeCell ref="C30:E30"/>
    <mergeCell ref="R12:S12"/>
    <mergeCell ref="C13:E13"/>
    <mergeCell ref="J13:K13"/>
    <mergeCell ref="L13:M13"/>
    <mergeCell ref="R13:S13"/>
    <mergeCell ref="L12:M12"/>
    <mergeCell ref="R14:S15"/>
    <mergeCell ref="J10:K10"/>
    <mergeCell ref="L10:M10"/>
    <mergeCell ref="O11:P11"/>
    <mergeCell ref="F11:G11"/>
    <mergeCell ref="B11:C11"/>
    <mergeCell ref="L19:M19"/>
    <mergeCell ref="I25:J25"/>
    <mergeCell ref="L25:M25"/>
    <mergeCell ref="I24:K24"/>
    <mergeCell ref="C27:D27"/>
    <mergeCell ref="O30:Q30"/>
    <mergeCell ref="B22:B33"/>
    <mergeCell ref="L28:N28"/>
    <mergeCell ref="C29:D29"/>
    <mergeCell ref="L29:M29"/>
    <mergeCell ref="F29:G29"/>
    <mergeCell ref="J9:K9"/>
    <mergeCell ref="L9:M9"/>
    <mergeCell ref="A9:A10"/>
    <mergeCell ref="B9:C9"/>
    <mergeCell ref="D9:E9"/>
    <mergeCell ref="F9:G9"/>
    <mergeCell ref="H9:I9"/>
    <mergeCell ref="B10:C10"/>
    <mergeCell ref="D10:E10"/>
    <mergeCell ref="F10:G10"/>
    <mergeCell ref="H10:I10"/>
    <mergeCell ref="J6:K6"/>
    <mergeCell ref="L6:M6"/>
    <mergeCell ref="N5:O5"/>
    <mergeCell ref="N6:O6"/>
    <mergeCell ref="A7:A8"/>
    <mergeCell ref="B7:C7"/>
    <mergeCell ref="D7:E7"/>
    <mergeCell ref="F7:G7"/>
    <mergeCell ref="H7:I7"/>
    <mergeCell ref="B8:C8"/>
    <mergeCell ref="D8:E8"/>
    <mergeCell ref="F8:G8"/>
    <mergeCell ref="H8:I8"/>
    <mergeCell ref="L8:M8"/>
    <mergeCell ref="L7:M7"/>
    <mergeCell ref="J7:K7"/>
    <mergeCell ref="J8:K8"/>
    <mergeCell ref="N8:O8"/>
    <mergeCell ref="M1:N1"/>
    <mergeCell ref="M2:N2"/>
    <mergeCell ref="A3:A6"/>
    <mergeCell ref="B3:C3"/>
    <mergeCell ref="D3:E3"/>
    <mergeCell ref="F3:G3"/>
    <mergeCell ref="H3:I3"/>
    <mergeCell ref="J3:K3"/>
    <mergeCell ref="D5:E5"/>
    <mergeCell ref="F5:G5"/>
    <mergeCell ref="H5:I5"/>
    <mergeCell ref="J5:K5"/>
    <mergeCell ref="L3:M3"/>
    <mergeCell ref="B4:C4"/>
    <mergeCell ref="D4:E4"/>
    <mergeCell ref="F4:G4"/>
    <mergeCell ref="H4:I4"/>
    <mergeCell ref="J4:K4"/>
    <mergeCell ref="L4:M4"/>
    <mergeCell ref="B5:C5"/>
    <mergeCell ref="L5:M5"/>
    <mergeCell ref="B6:C6"/>
    <mergeCell ref="D6:E6"/>
    <mergeCell ref="H6:I6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マクロ参照シート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晃次郎 土田</dc:creator>
  <cp:lastModifiedBy>Office</cp:lastModifiedBy>
  <cp:lastPrinted>2025-08-05T02:34:43Z</cp:lastPrinted>
  <dcterms:created xsi:type="dcterms:W3CDTF">2025-01-24T05:52:15Z</dcterms:created>
  <dcterms:modified xsi:type="dcterms:W3CDTF">2025-08-05T02:34:52Z</dcterms:modified>
</cp:coreProperties>
</file>